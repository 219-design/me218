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wnloads\ME218 PCB Ruler BOMs\"/>
    </mc:Choice>
  </mc:AlternateContent>
  <xr:revisionPtr revIDLastSave="0" documentId="13_ncr:1_{833700BB-47FE-4BC6-BC8D-F31FBA6F0129}" xr6:coauthVersionLast="47" xr6:coauthVersionMax="47" xr10:uidLastSave="{00000000-0000-0000-0000-000000000000}"/>
  <bookViews>
    <workbookView xWindow="83400" yWindow="0" windowWidth="25800" windowHeight="21000" xr2:uid="{00000000-000D-0000-FFFF-FFFF00000000}"/>
  </bookViews>
  <sheets>
    <sheet name="BOM" sheetId="3" r:id="rId1"/>
  </sheets>
  <definedNames>
    <definedName name="_xlnm.Print_Area" localSheetId="0">BOM!$A$1:$J$28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A23" i="3"/>
  <c r="A22" i="3"/>
  <c r="A21" i="3"/>
  <c r="A20" i="3"/>
  <c r="A19" i="3"/>
  <c r="A18" i="3"/>
  <c r="A17" i="3"/>
  <c r="A16" i="3"/>
  <c r="A15" i="3"/>
  <c r="A14" i="3"/>
  <c r="A13" i="3"/>
  <c r="A12" i="3"/>
  <c r="A11" i="3"/>
</calcChain>
</file>

<file path=xl/sharedStrings.xml><?xml version="1.0" encoding="utf-8"?>
<sst xmlns="http://schemas.openxmlformats.org/spreadsheetml/2006/main" count="128" uniqueCount="99">
  <si>
    <t>Report Date:</t>
  </si>
  <si>
    <t>Quantity</t>
  </si>
  <si>
    <t>Notes</t>
  </si>
  <si>
    <t>Footprint</t>
  </si>
  <si>
    <t>#</t>
  </si>
  <si>
    <t>Bill of Materials</t>
  </si>
  <si>
    <t>Multilayer Ceramic Capacitor, 1 uF, 50 V, ± 10%, X7R, 0805 [2012 Metric]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</si>
  <si>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</si>
  <si>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</si>
  <si>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</si>
  <si>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</si>
  <si>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</si>
  <si>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</si>
  <si>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</si>
  <si>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</si>
  <si>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</si>
  <si>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</si>
  <si>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</si>
  <si>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</si>
  <si>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ME218 Ruler</t>
  </si>
  <si>
    <t>9/5/2025</t>
  </si>
  <si>
    <t>17:09</t>
  </si>
  <si>
    <t>219 Design</t>
  </si>
  <si>
    <t>v1</t>
  </si>
  <si>
    <t>Designator</t>
  </si>
  <si>
    <t>C1-C4</t>
  </si>
  <si>
    <t>CENTER, DOWN, LEFT, RIGHT, UP</t>
  </si>
  <si>
    <t>D1</t>
  </si>
  <si>
    <t>D2</t>
  </si>
  <si>
    <t>J1</t>
  </si>
  <si>
    <t>P17</t>
  </si>
  <si>
    <t>R1</t>
  </si>
  <si>
    <t>R2</t>
  </si>
  <si>
    <t>U1</t>
  </si>
  <si>
    <t>U2-U6</t>
  </si>
  <si>
    <t>Keypad Switch, 1 Switches, SPST, Momentary-tactile, 0.05A, 12VDC, 2.45N, Solder Terminal, Surface Mount-straight</t>
  </si>
  <si>
    <t>0805 Single Color LED, Super Red, Colorless Diffused, 1.3mm</t>
  </si>
  <si>
    <t>0805 Single Color LED, Yellow, Colorless Diffused, 1.3mm</t>
  </si>
  <si>
    <t>QWIIC JST CONNECTOR - SMD 4-PIN</t>
  </si>
  <si>
    <t>Header for PCB; pitch 2.00mm; 2-contacts; THT; male; side entry; 100V/2A</t>
  </si>
  <si>
    <t>SMD Chip Resistor, 300 Ohm, ± 1%, 125 mW, 0805 [2012 Metric], Thin Film, General Purpose</t>
  </si>
  <si>
    <t>SMD Chip Resistor, 130 Ohm, ± 1%, 125 mW, 0805 [2012 Metric], Thick Film, Automotive</t>
  </si>
  <si>
    <t>Seeed studio XIAO series dev boards</t>
  </si>
  <si>
    <t>NeoPixel 5050 RGB LED with Integrated Driver Chip - 10 Pack | Adafruit Industries 1655</t>
  </si>
  <si>
    <t>Murata</t>
  </si>
  <si>
    <t>E-Switch</t>
  </si>
  <si>
    <t>Osram Opto</t>
  </si>
  <si>
    <t>Osram</t>
  </si>
  <si>
    <t>SparkFun</t>
  </si>
  <si>
    <t>JST</t>
  </si>
  <si>
    <t>Yageo Group</t>
  </si>
  <si>
    <t>Vishay</t>
  </si>
  <si>
    <t>Seeed Studio</t>
  </si>
  <si>
    <t>Adafruit Industries</t>
  </si>
  <si>
    <t>GCM21BR71H105KA03K</t>
  </si>
  <si>
    <t>TL3305AF260QG</t>
  </si>
  <si>
    <t>LS R976-NR-1</t>
  </si>
  <si>
    <t>LY R976-PS-36</t>
  </si>
  <si>
    <t>14417</t>
  </si>
  <si>
    <t>S2B-PH-K-S(LF)(SN)</t>
  </si>
  <si>
    <t>RT0805FRE07300RL</t>
  </si>
  <si>
    <t>CRCW0805130RFKEA</t>
  </si>
  <si>
    <t>1655</t>
  </si>
  <si>
    <t>DigiKey</t>
  </si>
  <si>
    <t>Mouser</t>
  </si>
  <si>
    <t>Future Electronics</t>
  </si>
  <si>
    <t>490-13310-1-ND</t>
  </si>
  <si>
    <t>EG5353CT-ND</t>
  </si>
  <si>
    <t>720-LSR976-NR-1</t>
  </si>
  <si>
    <t>720-LYR976-PS-36</t>
  </si>
  <si>
    <t>1568-14417-ND</t>
  </si>
  <si>
    <t>7754757</t>
  </si>
  <si>
    <t>13-RT0805FRE07300RLCT-ND</t>
  </si>
  <si>
    <t>541-130CCT-ND</t>
  </si>
  <si>
    <t>1528-1104-ND</t>
  </si>
  <si>
    <t>FP-GRM21B-0_15-IPC_B</t>
  </si>
  <si>
    <t>FP-TL3305AF260QG-MFG</t>
  </si>
  <si>
    <t>FP-LS_R976-MFG</t>
  </si>
  <si>
    <t>SPARKFUN_PRT-14417</t>
  </si>
  <si>
    <t>JST-S2B-PH-K-S_V</t>
  </si>
  <si>
    <t>RESC2013X60X35NL10T20</t>
  </si>
  <si>
    <t>Seeeduino XIAO-Footprint-Both</t>
  </si>
  <si>
    <t>ADA-RGB-1655_V</t>
  </si>
  <si>
    <t>XIAO nRF52840 Sense</t>
  </si>
  <si>
    <t>1597-102010469-ND</t>
  </si>
  <si>
    <t>ELEGOO</t>
  </si>
  <si>
    <t>EL-SM-008</t>
  </si>
  <si>
    <t>Amazon</t>
  </si>
  <si>
    <t>HDR 06 POS 100mil 2.54mm</t>
  </si>
  <si>
    <t>P8</t>
  </si>
  <si>
    <t>Screen</t>
  </si>
  <si>
    <t>NA</t>
  </si>
  <si>
    <t>Adafruit</t>
  </si>
  <si>
    <t>Speaker</t>
  </si>
  <si>
    <t>1528-3885-ND</t>
  </si>
  <si>
    <t>Jumper wire</t>
  </si>
  <si>
    <t>Sparkfun</t>
  </si>
  <si>
    <t>1568-11367-ND</t>
  </si>
  <si>
    <t>Not 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</si>
</sst>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6" x14ac:knownFonts="1"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indexed="10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14" fillId="3" borderId="16" xfId="0" applyFont="1" applyFill="1" applyBorder="1" applyAlignment="1">
      <alignment vertical="top" wrapText="1"/>
    </xf>
    <xf numFmtId="0" fontId="14" fillId="3" borderId="17" xfId="0" applyFont="1" applyFill="1" applyBorder="1" applyAlignment="1">
      <alignment vertical="top" wrapText="1"/>
    </xf>
    <xf numFmtId="0" fontId="4" fillId="4" borderId="18" xfId="1" applyFont="1" applyFill="1" applyBorder="1" applyAlignment="1">
      <alignment vertical="top" wrapText="1"/>
    </xf>
    <xf numFmtId="0" fontId="4" fillId="4" borderId="18" xfId="1" applyFont="1" applyFill="1" applyBorder="1" applyAlignment="1">
      <alignment horizontal="left" vertical="top" wrapText="1"/>
    </xf>
    <xf numFmtId="0" fontId="4" fillId="4" borderId="26" xfId="1" applyFont="1" applyFill="1" applyBorder="1" applyAlignment="1">
      <alignment horizontal="right"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44A9547-D328-4622-97A2-8A9FB866776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378237</xdr:colOff>
      <xdr:row>0</xdr:row>
      <xdr:rowOff>71214</xdr:rowOff>
    </xdr:from>
    <xdr:to>
      <xdr:col>8</xdr:col>
      <xdr:colOff>1248621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showGridLines="0" tabSelected="1" zoomScaleNormal="100" workbookViewId="0">
      <selection activeCell="C17" sqref="C17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19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20</v>
      </c>
      <c r="D3" s="54" t="s">
        <v>21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22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71" t="s">
        <v>8</v>
      </c>
      <c r="C6" s="72"/>
      <c r="D6" s="72"/>
      <c r="E6" s="72"/>
      <c r="F6" s="72"/>
      <c r="G6" s="73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5" t="s">
        <v>11</v>
      </c>
      <c r="E7" s="66"/>
      <c r="F7" s="66"/>
      <c r="G7" s="67"/>
      <c r="I7" s="41"/>
      <c r="J7" s="45"/>
    </row>
    <row r="8" spans="1:10" ht="15.75" customHeight="1" x14ac:dyDescent="0.55000000000000004">
      <c r="A8" s="16"/>
      <c r="B8" s="55" t="s">
        <v>23</v>
      </c>
      <c r="C8" s="56" t="s">
        <v>20</v>
      </c>
      <c r="D8" s="68" t="s">
        <v>12</v>
      </c>
      <c r="E8" s="69"/>
      <c r="F8" s="69"/>
      <c r="G8" s="70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24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3" si="0">ROW(A11) - ROW($A$10)</f>
        <v>1</v>
      </c>
      <c r="B11" s="27" t="s">
        <v>25</v>
      </c>
      <c r="C11" s="28" t="s">
        <v>6</v>
      </c>
      <c r="D11" s="36" t="s">
        <v>44</v>
      </c>
      <c r="E11" s="36" t="s">
        <v>54</v>
      </c>
      <c r="F11" s="36" t="s">
        <v>63</v>
      </c>
      <c r="G11" s="36" t="s">
        <v>66</v>
      </c>
      <c r="H11" s="36" t="s">
        <v>15</v>
      </c>
      <c r="I11" s="36" t="s">
        <v>75</v>
      </c>
      <c r="J11" s="47">
        <v>4</v>
      </c>
    </row>
    <row r="12" spans="1:10" s="3" customFormat="1" ht="24" customHeight="1" x14ac:dyDescent="0.6">
      <c r="A12" s="29">
        <f t="shared" si="0"/>
        <v>2</v>
      </c>
      <c r="B12" s="60" t="s">
        <v>26</v>
      </c>
      <c r="C12" s="60" t="s">
        <v>35</v>
      </c>
      <c r="D12" s="61" t="s">
        <v>45</v>
      </c>
      <c r="E12" s="61" t="s">
        <v>55</v>
      </c>
      <c r="F12" s="61" t="s">
        <v>63</v>
      </c>
      <c r="G12" s="61" t="s">
        <v>67</v>
      </c>
      <c r="H12" s="61" t="s">
        <v>15</v>
      </c>
      <c r="I12" s="61" t="s">
        <v>76</v>
      </c>
      <c r="J12" s="62">
        <v>5</v>
      </c>
    </row>
    <row r="13" spans="1:10" s="3" customFormat="1" ht="24" customHeight="1" x14ac:dyDescent="0.6">
      <c r="A13" s="26">
        <f t="shared" si="0"/>
        <v>3</v>
      </c>
      <c r="B13" s="27" t="s">
        <v>27</v>
      </c>
      <c r="C13" s="28" t="s">
        <v>36</v>
      </c>
      <c r="D13" s="36" t="s">
        <v>46</v>
      </c>
      <c r="E13" s="36" t="s">
        <v>56</v>
      </c>
      <c r="F13" s="36" t="s">
        <v>64</v>
      </c>
      <c r="G13" s="36" t="s">
        <v>68</v>
      </c>
      <c r="H13" s="36" t="s">
        <v>15</v>
      </c>
      <c r="I13" s="36" t="s">
        <v>77</v>
      </c>
      <c r="J13" s="47">
        <v>1</v>
      </c>
    </row>
    <row r="14" spans="1:10" s="3" customFormat="1" ht="24" customHeight="1" x14ac:dyDescent="0.6">
      <c r="A14" s="29">
        <f t="shared" si="0"/>
        <v>4</v>
      </c>
      <c r="B14" s="30" t="s">
        <v>28</v>
      </c>
      <c r="C14" s="30" t="s">
        <v>37</v>
      </c>
      <c r="D14" s="37" t="s">
        <v>47</v>
      </c>
      <c r="E14" s="37" t="s">
        <v>57</v>
      </c>
      <c r="F14" s="37" t="s">
        <v>64</v>
      </c>
      <c r="G14" s="37" t="s">
        <v>69</v>
      </c>
      <c r="H14" s="37" t="s">
        <v>15</v>
      </c>
      <c r="I14" s="37" t="s">
        <v>77</v>
      </c>
      <c r="J14" s="48">
        <v>1</v>
      </c>
    </row>
    <row r="15" spans="1:10" s="3" customFormat="1" ht="24" customHeight="1" x14ac:dyDescent="0.6">
      <c r="A15" s="26">
        <f t="shared" si="0"/>
        <v>5</v>
      </c>
      <c r="B15" s="27" t="s">
        <v>29</v>
      </c>
      <c r="C15" s="28" t="s">
        <v>38</v>
      </c>
      <c r="D15" s="36" t="s">
        <v>48</v>
      </c>
      <c r="E15" s="36" t="s">
        <v>58</v>
      </c>
      <c r="F15" s="36" t="s">
        <v>63</v>
      </c>
      <c r="G15" s="36" t="s">
        <v>70</v>
      </c>
      <c r="H15" s="36" t="s">
        <v>98</v>
      </c>
      <c r="I15" s="36" t="s">
        <v>78</v>
      </c>
      <c r="J15" s="47">
        <v>0</v>
      </c>
    </row>
    <row r="16" spans="1:10" s="3" customFormat="1" ht="24" customHeight="1" x14ac:dyDescent="0.6">
      <c r="A16" s="29">
        <f t="shared" si="0"/>
        <v>6</v>
      </c>
      <c r="B16" s="30" t="s">
        <v>30</v>
      </c>
      <c r="C16" s="30" t="s">
        <v>39</v>
      </c>
      <c r="D16" s="37" t="s">
        <v>49</v>
      </c>
      <c r="E16" s="37" t="s">
        <v>59</v>
      </c>
      <c r="F16" s="37" t="s">
        <v>65</v>
      </c>
      <c r="G16" s="37" t="s">
        <v>71</v>
      </c>
      <c r="H16" s="37" t="s">
        <v>98</v>
      </c>
      <c r="I16" s="37" t="s">
        <v>79</v>
      </c>
      <c r="J16" s="48">
        <v>0</v>
      </c>
    </row>
    <row r="17" spans="1:10" s="3" customFormat="1" ht="24" customHeight="1" x14ac:dyDescent="0.6">
      <c r="A17" s="26">
        <f t="shared" si="0"/>
        <v>7</v>
      </c>
      <c r="B17" s="27" t="s">
        <v>31</v>
      </c>
      <c r="C17" s="28" t="s">
        <v>40</v>
      </c>
      <c r="D17" s="36" t="s">
        <v>50</v>
      </c>
      <c r="E17" s="36" t="s">
        <v>60</v>
      </c>
      <c r="F17" s="36" t="s">
        <v>63</v>
      </c>
      <c r="G17" s="36" t="s">
        <v>72</v>
      </c>
      <c r="H17" s="36" t="s">
        <v>15</v>
      </c>
      <c r="I17" s="36" t="s">
        <v>80</v>
      </c>
      <c r="J17" s="47">
        <v>1</v>
      </c>
    </row>
    <row r="18" spans="1:10" s="3" customFormat="1" ht="24" customHeight="1" x14ac:dyDescent="0.6">
      <c r="A18" s="29">
        <f t="shared" si="0"/>
        <v>8</v>
      </c>
      <c r="B18" s="30" t="s">
        <v>32</v>
      </c>
      <c r="C18" s="30" t="s">
        <v>41</v>
      </c>
      <c r="D18" s="37" t="s">
        <v>51</v>
      </c>
      <c r="E18" s="37" t="s">
        <v>61</v>
      </c>
      <c r="F18" s="37" t="s">
        <v>63</v>
      </c>
      <c r="G18" s="37" t="s">
        <v>73</v>
      </c>
      <c r="H18" s="37" t="s">
        <v>15</v>
      </c>
      <c r="I18" s="37" t="s">
        <v>80</v>
      </c>
      <c r="J18" s="48">
        <v>1</v>
      </c>
    </row>
    <row r="19" spans="1:10" s="3" customFormat="1" ht="24" customHeight="1" x14ac:dyDescent="0.6">
      <c r="A19" s="26">
        <f t="shared" si="0"/>
        <v>9</v>
      </c>
      <c r="B19" s="27" t="s">
        <v>33</v>
      </c>
      <c r="C19" s="28" t="s">
        <v>42</v>
      </c>
      <c r="D19" s="36" t="s">
        <v>52</v>
      </c>
      <c r="E19" s="36" t="s">
        <v>83</v>
      </c>
      <c r="F19" s="36" t="s">
        <v>63</v>
      </c>
      <c r="G19" s="36" t="s">
        <v>84</v>
      </c>
      <c r="H19" s="36" t="s">
        <v>15</v>
      </c>
      <c r="I19" s="36" t="s">
        <v>81</v>
      </c>
      <c r="J19" s="47">
        <v>1</v>
      </c>
    </row>
    <row r="20" spans="1:10" s="3" customFormat="1" ht="24" customHeight="1" x14ac:dyDescent="0.6">
      <c r="A20" s="29">
        <f>ROW(A20) - ROW($A$10)</f>
        <v>10</v>
      </c>
      <c r="B20" s="30" t="s">
        <v>34</v>
      </c>
      <c r="C20" s="30" t="s">
        <v>43</v>
      </c>
      <c r="D20" s="37" t="s">
        <v>53</v>
      </c>
      <c r="E20" s="37" t="s">
        <v>62</v>
      </c>
      <c r="F20" s="37" t="s">
        <v>63</v>
      </c>
      <c r="G20" s="37" t="s">
        <v>74</v>
      </c>
      <c r="H20" s="37" t="s">
        <v>15</v>
      </c>
      <c r="I20" s="37" t="s">
        <v>82</v>
      </c>
      <c r="J20" s="48">
        <v>5</v>
      </c>
    </row>
    <row r="21" spans="1:10" s="3" customFormat="1" ht="24" customHeight="1" x14ac:dyDescent="0.6">
      <c r="A21" s="26">
        <f t="shared" si="0"/>
        <v>11</v>
      </c>
      <c r="B21" s="58" t="s">
        <v>89</v>
      </c>
      <c r="C21" s="59" t="s">
        <v>90</v>
      </c>
      <c r="D21" s="36" t="s">
        <v>85</v>
      </c>
      <c r="E21" s="36" t="s">
        <v>86</v>
      </c>
      <c r="F21" s="36" t="s">
        <v>87</v>
      </c>
      <c r="G21" s="36" t="s">
        <v>86</v>
      </c>
      <c r="H21" s="36" t="s">
        <v>15</v>
      </c>
      <c r="I21" s="36" t="s">
        <v>88</v>
      </c>
      <c r="J21" s="47">
        <v>1</v>
      </c>
    </row>
    <row r="22" spans="1:10" s="3" customFormat="1" ht="24" customHeight="1" x14ac:dyDescent="0.6">
      <c r="A22" s="29">
        <f>ROW(A22) - ROW($A$10)</f>
        <v>12</v>
      </c>
      <c r="B22" s="30" t="s">
        <v>91</v>
      </c>
      <c r="C22" s="30" t="s">
        <v>93</v>
      </c>
      <c r="D22" s="37" t="s">
        <v>92</v>
      </c>
      <c r="E22" s="37">
        <v>3885</v>
      </c>
      <c r="F22" s="37" t="s">
        <v>63</v>
      </c>
      <c r="G22" s="37" t="s">
        <v>94</v>
      </c>
      <c r="H22" s="37" t="s">
        <v>15</v>
      </c>
      <c r="I22" s="37" t="s">
        <v>91</v>
      </c>
      <c r="J22" s="48">
        <v>1</v>
      </c>
    </row>
    <row r="23" spans="1:10" s="3" customFormat="1" ht="24" customHeight="1" x14ac:dyDescent="0.6">
      <c r="A23" s="26">
        <f t="shared" si="0"/>
        <v>13</v>
      </c>
      <c r="B23" s="27" t="s">
        <v>91</v>
      </c>
      <c r="C23" s="27" t="s">
        <v>95</v>
      </c>
      <c r="D23" s="36" t="s">
        <v>96</v>
      </c>
      <c r="E23" s="36">
        <v>11367</v>
      </c>
      <c r="F23" s="36" t="s">
        <v>63</v>
      </c>
      <c r="G23" s="36" t="s">
        <v>97</v>
      </c>
      <c r="H23" s="36" t="s">
        <v>15</v>
      </c>
      <c r="I23" s="36" t="s">
        <v>91</v>
      </c>
      <c r="J23" s="47">
        <v>1</v>
      </c>
    </row>
    <row r="24" spans="1:10" x14ac:dyDescent="0.6">
      <c r="A24" s="63"/>
      <c r="B24" s="64"/>
      <c r="C24" s="5"/>
      <c r="D24" s="38"/>
      <c r="E24" s="38"/>
      <c r="F24" s="38"/>
      <c r="G24" s="38"/>
      <c r="H24" s="38"/>
      <c r="I24" s="42"/>
      <c r="J24" s="57">
        <f>SUM(J11:J23)</f>
        <v>22</v>
      </c>
    </row>
    <row r="25" spans="1:10" x14ac:dyDescent="0.6">
      <c r="A25" s="19" t="s">
        <v>2</v>
      </c>
      <c r="B25" s="7"/>
      <c r="C25" s="5"/>
      <c r="D25" s="5"/>
      <c r="E25" s="5"/>
      <c r="F25" s="5"/>
      <c r="G25" s="5"/>
      <c r="H25" s="5"/>
      <c r="I25" s="5"/>
      <c r="J25" s="49"/>
    </row>
    <row r="26" spans="1:10" x14ac:dyDescent="0.6">
      <c r="A26" s="20"/>
      <c r="B26" s="8"/>
      <c r="C26" s="6"/>
      <c r="D26" s="6"/>
      <c r="E26" s="6"/>
      <c r="F26" s="6"/>
      <c r="G26" s="6"/>
      <c r="H26" s="6"/>
      <c r="I26" s="6"/>
      <c r="J26" s="45"/>
    </row>
    <row r="27" spans="1:10" x14ac:dyDescent="0.6">
      <c r="A27" s="20"/>
      <c r="B27" s="8"/>
      <c r="C27" s="6"/>
      <c r="D27" s="6"/>
      <c r="E27" s="6"/>
      <c r="F27" s="6"/>
      <c r="G27" s="6"/>
      <c r="H27" s="6"/>
      <c r="I27" s="6"/>
      <c r="J27" s="45"/>
    </row>
    <row r="28" spans="1:10" ht="13.75" thickBot="1" x14ac:dyDescent="0.75">
      <c r="A28" s="21"/>
      <c r="B28" s="22"/>
      <c r="C28" s="23"/>
      <c r="D28" s="23"/>
      <c r="E28" s="23"/>
      <c r="F28" s="23"/>
      <c r="G28" s="23"/>
      <c r="H28" s="23"/>
      <c r="I28" s="23"/>
      <c r="J28" s="50"/>
    </row>
    <row r="30" spans="1:10" x14ac:dyDescent="0.6">
      <c r="B30" s="1"/>
      <c r="C30" s="1"/>
    </row>
    <row r="31" spans="1:10" x14ac:dyDescent="0.6">
      <c r="B31" s="1"/>
      <c r="C31" s="1"/>
    </row>
    <row r="32" spans="1:10" x14ac:dyDescent="0.6">
      <c r="B32" s="1"/>
      <c r="C32" s="1"/>
    </row>
  </sheetData>
  <mergeCells count="4">
    <mergeCell ref="A24:B24"/>
    <mergeCell ref="D7:G7"/>
    <mergeCell ref="D8:G8"/>
    <mergeCell ref="B6:G6"/>
  </mergeCells>
  <phoneticPr fontId="15" type="noConversion"/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2025-10-09T21:21:32Z</dcterms:modified>
</cp:coreProperties>
</file>